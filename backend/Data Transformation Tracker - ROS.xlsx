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ation Tracker" sheetId="1" r:id="rId1"/>
  </sheets>
  <calcPr calcId="124519" fullCalcOnLoad="1"/>
</workbook>
</file>

<file path=xl/sharedStrings.xml><?xml version="1.0" encoding="utf-8"?>
<sst xmlns="http://schemas.openxmlformats.org/spreadsheetml/2006/main" count="249" uniqueCount="134">
  <si>
    <t>ROS — DATA TRANSFORMATION TRACKER</t>
  </si>
  <si>
    <t>Sl No</t>
  </si>
  <si>
    <t>Data Set</t>
  </si>
  <si>
    <t>Field / Column</t>
  </si>
  <si>
    <t>Transformation Type</t>
  </si>
  <si>
    <t>Before</t>
  </si>
  <si>
    <t>After</t>
  </si>
  <si>
    <t>Description / Logic</t>
  </si>
  <si>
    <t>Tool / Method</t>
  </si>
  <si>
    <t>Status</t>
  </si>
  <si>
    <t>Orders</t>
  </si>
  <si>
    <t>order_date</t>
  </si>
  <si>
    <t>Type Conversion</t>
  </si>
  <si>
    <t>ISO date string</t>
  </si>
  <si>
    <t>Date (YYYY-MM-DD)</t>
  </si>
  <si>
    <t>Order dates generated as ISO 8601 strings; consumed directly by SQL DATE columns.</t>
  </si>
  <si>
    <t>Python / numpy</t>
  </si>
  <si>
    <t>Done</t>
  </si>
  <si>
    <t>order_amount</t>
  </si>
  <si>
    <t>Derive / Calculate</t>
  </si>
  <si>
    <t>drinks + food + other (separate)</t>
  </si>
  <si>
    <t>order_amount = drinks + food + other + service_charges + delivery_charges</t>
  </si>
  <si>
    <t>Computed by vectorised numpy: components rounded first, then summed.</t>
  </si>
  <si>
    <t>tax_amount</t>
  </si>
  <si>
    <t>order_amount + rate (separate)</t>
  </si>
  <si>
    <t>tax_amount = order_amount × rate (8% UK / 18% India)</t>
  </si>
  <si>
    <t>Tax rate resolved by restaurant country (not client country) per Rule #6.</t>
  </si>
  <si>
    <t>order_total</t>
  </si>
  <si>
    <t>order_amount + tax (separate)</t>
  </si>
  <si>
    <t>order_total = order_amount + tax_amount</t>
  </si>
  <si>
    <t>Final order total includes tax.</t>
  </si>
  <si>
    <t>service_charges</t>
  </si>
  <si>
    <t>drinks + food + other (base)</t>
  </si>
  <si>
    <t>service_charges = 5% × base for Dine-In; 0 for Home Delivery</t>
  </si>
  <si>
    <t>Service charge only applies to Dine-In orders.</t>
  </si>
  <si>
    <t>delivery_charges</t>
  </si>
  <si>
    <t>delivery_charges = 10% × base for Home Delivery; 0 for Dine-In</t>
  </si>
  <si>
    <t>Delivery charge only applies to Home Delivery orders.</t>
  </si>
  <si>
    <t>Sales</t>
  </si>
  <si>
    <t>drinks_payment</t>
  </si>
  <si>
    <t>Aggregate</t>
  </si>
  <si>
    <t>Orders.drinks_amount (per-order)</t>
  </si>
  <si>
    <t>Sales.drinks_payment (per restaurant-day sum)</t>
  </si>
  <si>
    <t>Roll-up: bincount aggregation by (restaurant_id × day_idx).</t>
  </si>
  <si>
    <t>food_payment</t>
  </si>
  <si>
    <t>Orders.food_amount</t>
  </si>
  <si>
    <t>Sales.food_payment (daily sum)</t>
  </si>
  <si>
    <t>Daily roll-up from Orders.</t>
  </si>
  <si>
    <t>other_payment</t>
  </si>
  <si>
    <t>Orders.other_payment</t>
  </si>
  <si>
    <t>Sales.other_payment (daily sum)</t>
  </si>
  <si>
    <t>Orders.service_charges</t>
  </si>
  <si>
    <t>Sales.service_charges (daily sum)</t>
  </si>
  <si>
    <t>Orders.delivery_charges</t>
  </si>
  <si>
    <t>Sales.delivery_charges (daily sum)</t>
  </si>
  <si>
    <t>creditcard_tip</t>
  </si>
  <si>
    <t>(none)</t>
  </si>
  <si>
    <t>Random decimal between 0 and 10</t>
  </si>
  <si>
    <t>Random credit card tip per restaurant-day per Milestone-Three.</t>
  </si>
  <si>
    <t>Expenses</t>
  </si>
  <si>
    <t>total_expense</t>
  </si>
  <si>
    <t>5 component columns</t>
  </si>
  <si>
    <t>Sum materialised in Cash_Up.expenses</t>
  </si>
  <si>
    <t>bills + vendors + wage_advances + repairs + sundries; not stored as a separate column in Expenses but propagated to Cash_Up.</t>
  </si>
  <si>
    <t>Deliveries</t>
  </si>
  <si>
    <t>api_amount</t>
  </si>
  <si>
    <t>api_amount = (food + drinks + delivery_charges) × (1 − 6%)</t>
  </si>
  <si>
    <t>Per Milestone-Three delivery partner split formula.</t>
  </si>
  <si>
    <t>match_status</t>
  </si>
  <si>
    <t>TRUE if order_amount == api_amount else FALSE</t>
  </si>
  <si>
    <t>Reconciliation flag. Renamed from 'match' to 'match_status' per schema fix. Distribution enforced at 95% TRUE (208,050) / 5% FALSE (10,950) — the 5% mismatches are real reconciliation anomalies traceable by delivery_id, with discrepancy £0.50-£5.00.</t>
  </si>
  <si>
    <t>Cash_Up</t>
  </si>
  <si>
    <t>bod_amount</t>
  </si>
  <si>
    <t>Day 1 = 0; subsequent = prev_eod − prev_banked</t>
  </si>
  <si>
    <t>Carry-over chain processed in strict date order per restaurant.</t>
  </si>
  <si>
    <t>Python</t>
  </si>
  <si>
    <t>eod_amount</t>
  </si>
  <si>
    <t>EOD = BOD + sales − expenses − delivery_charges</t>
  </si>
  <si>
    <t>Sales excludes tax per Milestone-Three.</t>
  </si>
  <si>
    <t>Standardise / Rename</t>
  </si>
  <si>
    <t>match</t>
  </si>
  <si>
    <t>Column renamed to match the SQL schema and Data Dictionary.</t>
  </si>
  <si>
    <t>Banking</t>
  </si>
  <si>
    <t>banked_total</t>
  </si>
  <si>
    <t>Random decimal between £10 and EOD (or 0 if EOD ≤ 0)</t>
  </si>
  <si>
    <t>Partial banking practice per Milestone-Eight.</t>
  </si>
  <si>
    <t>banking_total</t>
  </si>
  <si>
    <t>Banking total mirrors the cash-up EOD for reconciliation.</t>
  </si>
  <si>
    <t>reconcile_status</t>
  </si>
  <si>
    <t>Reconciled / Partial / Unreconciled</t>
  </si>
  <si>
    <t>Reconciled if banked==EOD; Partial if 0&lt;banked&lt;EOD; Unreconciled if banked==0.</t>
  </si>
  <si>
    <t>Users</t>
  </si>
  <si>
    <t>email</t>
  </si>
  <si>
    <t>Standardise / Validate</t>
  </si>
  <si>
    <t>Raw generated string</t>
  </si>
  <si>
    <t>Valid email format (lower-case, no spaces, contains @)</t>
  </si>
  <si>
    <t>Emails generated as firstname.lastname{id}@ros-uk.com or @ros-in.com.</t>
  </si>
  <si>
    <t>phone</t>
  </si>
  <si>
    <t>Standardise / Format</t>
  </si>
  <si>
    <t>Raw digits</t>
  </si>
  <si>
    <t>UK: 0XXXX XXX XXXX; India: +91 XXXXX XXXXX</t>
  </si>
  <si>
    <t>Region-specific phone format per client country.</t>
  </si>
  <si>
    <t>role_id</t>
  </si>
  <si>
    <t>Potential orphans (id 4 missing in source Roles)</t>
  </si>
  <si>
    <t>All role_ids ∈ {1, 2, 3, 4}</t>
  </si>
  <si>
    <t>Source Roles table had ids 1, 2, 3, 5 (skipping 4). Regenerated with sequential 1-4.</t>
  </si>
  <si>
    <t>Clients</t>
  </si>
  <si>
    <t>status</t>
  </si>
  <si>
    <t>Active if inactivation_date is NULL, else Inactive</t>
  </si>
  <si>
    <t>Status derived from inactivation_date presence.</t>
  </si>
  <si>
    <t>order_type</t>
  </si>
  <si>
    <t>Standardise / Categorise</t>
  </si>
  <si>
    <t>Dine-In / Home Delivery</t>
  </si>
  <si>
    <t>60% Dine-In, 40% Home Delivery, exact 219,000 deliveries.</t>
  </si>
  <si>
    <t>Countries</t>
  </si>
  <si>
    <t>country_alpha2_code</t>
  </si>
  <si>
    <t>Import / Preserve</t>
  </si>
  <si>
    <t>Source ROS_Dataset.xlsx</t>
  </si>
  <si>
    <t>Unchanged</t>
  </si>
  <si>
    <t>Country master list preserved verbatim from source.</t>
  </si>
  <si>
    <t>openpyxl</t>
  </si>
  <si>
    <t>TaxInfo</t>
  </si>
  <si>
    <t>tax_percentage</t>
  </si>
  <si>
    <t>Unchanged (0.08 UK, 0.18 India)</t>
  </si>
  <si>
    <t>Tax rates preserved per Milestone-Three specification.</t>
  </si>
  <si>
    <t>Subscriptions</t>
  </si>
  <si>
    <t>No Of Users</t>
  </si>
  <si>
    <t>Populate / Enrich</t>
  </si>
  <si>
    <t>NULL for tiers 2-4</t>
  </si>
  <si>
    <t>10, 25, 50, 200 for tiers 1-4</t>
  </si>
  <si>
    <t>Per-client user limits added per Project Requirements Docket Rule #2.</t>
  </si>
  <si>
    <t>Cost</t>
  </si>
  <si>
    <t>0, 49, 199, 499 GBP for tiers 1-4</t>
  </si>
  <si>
    <t>Monthly cost in GBP for each tier.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</si>
</sst>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4" width="22.7109375" customWidth="1"/>
    <col min="5" max="5" width="28.7109375" customWidth="1"/>
    <col min="6" max="6" width="36.7109375" customWidth="1"/>
    <col min="7" max="7" width="50.7109375" customWidth="1"/>
    <col min="8" max="8" width="16.7109375" customWidth="1"/>
    <col min="9" max="9" width="10.7109375" customWidth="1"/>
  </cols>
  <sheetData>
    <row r="1" spans="1:9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spans="1:9">
      <c r="A4" s="3">
        <v>2</v>
      </c>
      <c r="B4" s="4" t="s">
        <v>10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16</v>
      </c>
      <c r="I4" s="4" t="s">
        <v>17</v>
      </c>
    </row>
    <row r="5" spans="1:9">
      <c r="A5" s="3">
        <v>3</v>
      </c>
      <c r="B5" s="4" t="s">
        <v>10</v>
      </c>
      <c r="C5" s="4" t="s">
        <v>23</v>
      </c>
      <c r="D5" s="4" t="s">
        <v>19</v>
      </c>
      <c r="E5" s="4" t="s">
        <v>24</v>
      </c>
      <c r="F5" s="4" t="s">
        <v>25</v>
      </c>
      <c r="G5" s="4" t="s">
        <v>26</v>
      </c>
      <c r="H5" s="4" t="s">
        <v>16</v>
      </c>
      <c r="I5" s="4" t="s">
        <v>17</v>
      </c>
    </row>
    <row r="6" spans="1:9">
      <c r="A6" s="3">
        <v>4</v>
      </c>
      <c r="B6" s="4" t="s">
        <v>10</v>
      </c>
      <c r="C6" s="4" t="s">
        <v>27</v>
      </c>
      <c r="D6" s="4" t="s">
        <v>19</v>
      </c>
      <c r="E6" s="4" t="s">
        <v>28</v>
      </c>
      <c r="F6" s="4" t="s">
        <v>29</v>
      </c>
      <c r="G6" s="4" t="s">
        <v>30</v>
      </c>
      <c r="H6" s="4" t="s">
        <v>16</v>
      </c>
      <c r="I6" s="4" t="s">
        <v>17</v>
      </c>
    </row>
    <row r="7" spans="1:9">
      <c r="A7" s="3">
        <v>5</v>
      </c>
      <c r="B7" s="4" t="s">
        <v>10</v>
      </c>
      <c r="C7" s="4" t="s">
        <v>31</v>
      </c>
      <c r="D7" s="4" t="s">
        <v>19</v>
      </c>
      <c r="E7" s="4" t="s">
        <v>32</v>
      </c>
      <c r="F7" s="4" t="s">
        <v>33</v>
      </c>
      <c r="G7" s="4" t="s">
        <v>34</v>
      </c>
      <c r="H7" s="4" t="s">
        <v>16</v>
      </c>
      <c r="I7" s="4" t="s">
        <v>17</v>
      </c>
    </row>
    <row r="8" spans="1:9">
      <c r="A8" s="3">
        <v>6</v>
      </c>
      <c r="B8" s="4" t="s">
        <v>10</v>
      </c>
      <c r="C8" s="4" t="s">
        <v>35</v>
      </c>
      <c r="D8" s="4" t="s">
        <v>19</v>
      </c>
      <c r="E8" s="4" t="s">
        <v>32</v>
      </c>
      <c r="F8" s="4" t="s">
        <v>36</v>
      </c>
      <c r="G8" s="4" t="s">
        <v>37</v>
      </c>
      <c r="H8" s="4" t="s">
        <v>16</v>
      </c>
      <c r="I8" s="4" t="s">
        <v>17</v>
      </c>
    </row>
    <row r="9" spans="1:9">
      <c r="A9" s="3">
        <v>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16</v>
      </c>
      <c r="I9" s="4" t="s">
        <v>17</v>
      </c>
    </row>
    <row r="10" spans="1:9">
      <c r="A10" s="3">
        <v>8</v>
      </c>
      <c r="B10" s="4" t="s">
        <v>38</v>
      </c>
      <c r="C10" s="4" t="s">
        <v>44</v>
      </c>
      <c r="D10" s="4" t="s">
        <v>40</v>
      </c>
      <c r="E10" s="4" t="s">
        <v>45</v>
      </c>
      <c r="F10" s="4" t="s">
        <v>46</v>
      </c>
      <c r="G10" s="4" t="s">
        <v>47</v>
      </c>
      <c r="H10" s="4" t="s">
        <v>16</v>
      </c>
      <c r="I10" s="4" t="s">
        <v>17</v>
      </c>
    </row>
    <row r="11" spans="1:9">
      <c r="A11" s="3">
        <v>9</v>
      </c>
      <c r="B11" s="4" t="s">
        <v>38</v>
      </c>
      <c r="C11" s="4" t="s">
        <v>48</v>
      </c>
      <c r="D11" s="4" t="s">
        <v>40</v>
      </c>
      <c r="E11" s="4" t="s">
        <v>49</v>
      </c>
      <c r="F11" s="4" t="s">
        <v>50</v>
      </c>
      <c r="G11" s="4" t="s">
        <v>47</v>
      </c>
      <c r="H11" s="4" t="s">
        <v>16</v>
      </c>
      <c r="I11" s="4" t="s">
        <v>17</v>
      </c>
    </row>
    <row r="12" spans="1:9">
      <c r="A12" s="3">
        <v>10</v>
      </c>
      <c r="B12" s="4" t="s">
        <v>38</v>
      </c>
      <c r="C12" s="4" t="s">
        <v>31</v>
      </c>
      <c r="D12" s="4" t="s">
        <v>40</v>
      </c>
      <c r="E12" s="4" t="s">
        <v>51</v>
      </c>
      <c r="F12" s="4" t="s">
        <v>52</v>
      </c>
      <c r="G12" s="4" t="s">
        <v>47</v>
      </c>
      <c r="H12" s="4" t="s">
        <v>16</v>
      </c>
      <c r="I12" s="4" t="s">
        <v>17</v>
      </c>
    </row>
    <row r="13" spans="1:9">
      <c r="A13" s="3">
        <v>11</v>
      </c>
      <c r="B13" s="4" t="s">
        <v>38</v>
      </c>
      <c r="C13" s="4" t="s">
        <v>35</v>
      </c>
      <c r="D13" s="4" t="s">
        <v>40</v>
      </c>
      <c r="E13" s="4" t="s">
        <v>53</v>
      </c>
      <c r="F13" s="4" t="s">
        <v>54</v>
      </c>
      <c r="G13" s="4" t="s">
        <v>47</v>
      </c>
      <c r="H13" s="4" t="s">
        <v>16</v>
      </c>
      <c r="I13" s="4" t="s">
        <v>17</v>
      </c>
    </row>
    <row r="14" spans="1:9">
      <c r="A14" s="3">
        <v>12</v>
      </c>
      <c r="B14" s="4" t="s">
        <v>38</v>
      </c>
      <c r="C14" s="4" t="s">
        <v>55</v>
      </c>
      <c r="D14" s="4" t="s">
        <v>19</v>
      </c>
      <c r="E14" s="4" t="s">
        <v>56</v>
      </c>
      <c r="F14" s="4" t="s">
        <v>57</v>
      </c>
      <c r="G14" s="4" t="s">
        <v>58</v>
      </c>
      <c r="H14" s="4" t="s">
        <v>16</v>
      </c>
      <c r="I14" s="4" t="s">
        <v>17</v>
      </c>
    </row>
    <row r="15" spans="1:9">
      <c r="A15" s="3">
        <v>13</v>
      </c>
      <c r="B15" s="4" t="s">
        <v>59</v>
      </c>
      <c r="C15" s="4" t="s">
        <v>60</v>
      </c>
      <c r="D15" s="4" t="s">
        <v>19</v>
      </c>
      <c r="E15" s="4" t="s">
        <v>61</v>
      </c>
      <c r="F15" s="4" t="s">
        <v>62</v>
      </c>
      <c r="G15" s="4" t="s">
        <v>63</v>
      </c>
      <c r="H15" s="4" t="s">
        <v>16</v>
      </c>
      <c r="I15" s="4" t="s">
        <v>17</v>
      </c>
    </row>
    <row r="16" spans="1:9">
      <c r="A16" s="3">
        <v>14</v>
      </c>
      <c r="B16" s="4" t="s">
        <v>64</v>
      </c>
      <c r="C16" s="4" t="s">
        <v>65</v>
      </c>
      <c r="D16" s="4" t="s">
        <v>19</v>
      </c>
      <c r="E16" s="4" t="s">
        <v>56</v>
      </c>
      <c r="F16" s="4" t="s">
        <v>66</v>
      </c>
      <c r="G16" s="4" t="s">
        <v>67</v>
      </c>
      <c r="H16" s="4" t="s">
        <v>16</v>
      </c>
      <c r="I16" s="4" t="s">
        <v>17</v>
      </c>
    </row>
    <row r="17" spans="1:9">
      <c r="A17" s="3">
        <v>15</v>
      </c>
      <c r="B17" s="4" t="s">
        <v>64</v>
      </c>
      <c r="C17" s="4" t="s">
        <v>68</v>
      </c>
      <c r="D17" s="4" t="s">
        <v>19</v>
      </c>
      <c r="E17" s="4" t="s">
        <v>56</v>
      </c>
      <c r="F17" s="4" t="s">
        <v>69</v>
      </c>
      <c r="G17" s="4" t="s">
        <v>70</v>
      </c>
      <c r="H17" s="4" t="s">
        <v>16</v>
      </c>
      <c r="I17" s="4" t="s">
        <v>17</v>
      </c>
    </row>
    <row r="18" spans="1:9">
      <c r="A18" s="3">
        <v>16</v>
      </c>
      <c r="B18" s="4" t="s">
        <v>71</v>
      </c>
      <c r="C18" s="4" t="s">
        <v>72</v>
      </c>
      <c r="D18" s="4" t="s">
        <v>19</v>
      </c>
      <c r="E18" s="4" t="s">
        <v>56</v>
      </c>
      <c r="F18" s="4" t="s">
        <v>73</v>
      </c>
      <c r="G18" s="4" t="s">
        <v>74</v>
      </c>
      <c r="H18" s="4" t="s">
        <v>75</v>
      </c>
      <c r="I18" s="4" t="s">
        <v>17</v>
      </c>
    </row>
    <row r="19" spans="1:9">
      <c r="A19" s="3">
        <v>17</v>
      </c>
      <c r="B19" s="4" t="s">
        <v>71</v>
      </c>
      <c r="C19" s="4" t="s">
        <v>76</v>
      </c>
      <c r="D19" s="4" t="s">
        <v>19</v>
      </c>
      <c r="E19" s="4" t="s">
        <v>56</v>
      </c>
      <c r="F19" s="4" t="s">
        <v>77</v>
      </c>
      <c r="G19" s="4" t="s">
        <v>78</v>
      </c>
      <c r="H19" s="4" t="s">
        <v>75</v>
      </c>
      <c r="I19" s="4" t="s">
        <v>17</v>
      </c>
    </row>
    <row r="20" spans="1:9">
      <c r="A20" s="3">
        <v>18</v>
      </c>
      <c r="B20" s="4" t="s">
        <v>71</v>
      </c>
      <c r="C20" s="4" t="s">
        <v>68</v>
      </c>
      <c r="D20" s="4" t="s">
        <v>79</v>
      </c>
      <c r="E20" s="4" t="s">
        <v>80</v>
      </c>
      <c r="F20" s="4" t="s">
        <v>68</v>
      </c>
      <c r="G20" s="4" t="s">
        <v>81</v>
      </c>
      <c r="H20" s="4" t="s">
        <v>75</v>
      </c>
      <c r="I20" s="4" t="s">
        <v>17</v>
      </c>
    </row>
    <row r="21" spans="1:9">
      <c r="A21" s="3">
        <v>19</v>
      </c>
      <c r="B21" s="4" t="s">
        <v>82</v>
      </c>
      <c r="C21" s="4" t="s">
        <v>83</v>
      </c>
      <c r="D21" s="4" t="s">
        <v>19</v>
      </c>
      <c r="E21" s="4" t="s">
        <v>56</v>
      </c>
      <c r="F21" s="4" t="s">
        <v>84</v>
      </c>
      <c r="G21" s="4" t="s">
        <v>85</v>
      </c>
      <c r="H21" s="4" t="s">
        <v>16</v>
      </c>
      <c r="I21" s="4" t="s">
        <v>17</v>
      </c>
    </row>
    <row r="22" spans="1:9">
      <c r="A22" s="3">
        <v>20</v>
      </c>
      <c r="B22" s="4" t="s">
        <v>82</v>
      </c>
      <c r="C22" s="4" t="s">
        <v>86</v>
      </c>
      <c r="D22" s="4" t="s">
        <v>19</v>
      </c>
      <c r="E22" s="4" t="s">
        <v>56</v>
      </c>
      <c r="F22" s="4">
        <f> EOD from Cash_Up</f>
        <v>0</v>
      </c>
      <c r="G22" s="4" t="s">
        <v>87</v>
      </c>
      <c r="H22" s="4" t="s">
        <v>75</v>
      </c>
      <c r="I22" s="4" t="s">
        <v>17</v>
      </c>
    </row>
    <row r="23" spans="1:9">
      <c r="A23" s="3">
        <v>21</v>
      </c>
      <c r="B23" s="4" t="s">
        <v>82</v>
      </c>
      <c r="C23" s="4" t="s">
        <v>88</v>
      </c>
      <c r="D23" s="4" t="s">
        <v>19</v>
      </c>
      <c r="E23" s="4" t="s">
        <v>56</v>
      </c>
      <c r="F23" s="4" t="s">
        <v>89</v>
      </c>
      <c r="G23" s="4" t="s">
        <v>90</v>
      </c>
      <c r="H23" s="4" t="s">
        <v>75</v>
      </c>
      <c r="I23" s="4" t="s">
        <v>17</v>
      </c>
    </row>
    <row r="24" spans="1:9">
      <c r="A24" s="3">
        <v>22</v>
      </c>
      <c r="B24" s="4" t="s">
        <v>91</v>
      </c>
      <c r="C24" s="4" t="s">
        <v>92</v>
      </c>
      <c r="D24" s="4" t="s">
        <v>93</v>
      </c>
      <c r="E24" s="4" t="s">
        <v>94</v>
      </c>
      <c r="F24" s="4" t="s">
        <v>95</v>
      </c>
      <c r="G24" s="4" t="s">
        <v>96</v>
      </c>
      <c r="H24" s="4" t="s">
        <v>75</v>
      </c>
      <c r="I24" s="4" t="s">
        <v>17</v>
      </c>
    </row>
    <row r="25" spans="1:9">
      <c r="A25" s="3">
        <v>23</v>
      </c>
      <c r="B25" s="4" t="s">
        <v>91</v>
      </c>
      <c r="C25" s="4" t="s">
        <v>97</v>
      </c>
      <c r="D25" s="4" t="s">
        <v>98</v>
      </c>
      <c r="E25" s="4" t="s">
        <v>99</v>
      </c>
      <c r="F25" s="4" t="s">
        <v>100</v>
      </c>
      <c r="G25" s="4" t="s">
        <v>101</v>
      </c>
      <c r="H25" s="4" t="s">
        <v>75</v>
      </c>
      <c r="I25" s="4" t="s">
        <v>17</v>
      </c>
    </row>
    <row r="26" spans="1:9">
      <c r="A26" s="3">
        <v>24</v>
      </c>
      <c r="B26" s="4" t="s">
        <v>91</v>
      </c>
      <c r="C26" s="4" t="s">
        <v>102</v>
      </c>
      <c r="D26" s="4" t="s">
        <v>93</v>
      </c>
      <c r="E26" s="4" t="s">
        <v>103</v>
      </c>
      <c r="F26" s="4" t="s">
        <v>104</v>
      </c>
      <c r="G26" s="4" t="s">
        <v>105</v>
      </c>
      <c r="H26" s="4" t="s">
        <v>75</v>
      </c>
      <c r="I26" s="4" t="s">
        <v>17</v>
      </c>
    </row>
    <row r="27" spans="1:9">
      <c r="A27" s="3">
        <v>25</v>
      </c>
      <c r="B27" s="4" t="s">
        <v>106</v>
      </c>
      <c r="C27" s="4" t="s">
        <v>107</v>
      </c>
      <c r="D27" s="4" t="s">
        <v>19</v>
      </c>
      <c r="E27" s="4" t="s">
        <v>56</v>
      </c>
      <c r="F27" s="4" t="s">
        <v>108</v>
      </c>
      <c r="G27" s="4" t="s">
        <v>109</v>
      </c>
      <c r="H27" s="4" t="s">
        <v>75</v>
      </c>
      <c r="I27" s="4" t="s">
        <v>17</v>
      </c>
    </row>
    <row r="28" spans="1:9">
      <c r="A28" s="3">
        <v>26</v>
      </c>
      <c r="B28" s="4" t="s">
        <v>10</v>
      </c>
      <c r="C28" s="4" t="s">
        <v>110</v>
      </c>
      <c r="D28" s="4" t="s">
        <v>111</v>
      </c>
      <c r="E28" s="4" t="s">
        <v>56</v>
      </c>
      <c r="F28" s="4" t="s">
        <v>112</v>
      </c>
      <c r="G28" s="4" t="s">
        <v>113</v>
      </c>
      <c r="H28" s="4" t="s">
        <v>16</v>
      </c>
      <c r="I28" s="4" t="s">
        <v>17</v>
      </c>
    </row>
    <row r="29" spans="1:9">
      <c r="A29" s="3">
        <v>27</v>
      </c>
      <c r="B29" s="4" t="s">
        <v>114</v>
      </c>
      <c r="C29" s="4" t="s">
        <v>115</v>
      </c>
      <c r="D29" s="4" t="s">
        <v>116</v>
      </c>
      <c r="E29" s="4" t="s">
        <v>117</v>
      </c>
      <c r="F29" s="4" t="s">
        <v>118</v>
      </c>
      <c r="G29" s="4" t="s">
        <v>119</v>
      </c>
      <c r="H29" s="4" t="s">
        <v>120</v>
      </c>
      <c r="I29" s="4" t="s">
        <v>17</v>
      </c>
    </row>
    <row r="30" spans="1:9">
      <c r="A30" s="3">
        <v>28</v>
      </c>
      <c r="B30" s="4" t="s">
        <v>121</v>
      </c>
      <c r="C30" s="4" t="s">
        <v>122</v>
      </c>
      <c r="D30" s="4" t="s">
        <v>116</v>
      </c>
      <c r="E30" s="4" t="s">
        <v>117</v>
      </c>
      <c r="F30" s="4" t="s">
        <v>123</v>
      </c>
      <c r="G30" s="4" t="s">
        <v>124</v>
      </c>
      <c r="H30" s="4" t="s">
        <v>120</v>
      </c>
      <c r="I30" s="4" t="s">
        <v>17</v>
      </c>
    </row>
    <row r="31" spans="1:9">
      <c r="A31" s="3">
        <v>29</v>
      </c>
      <c r="B31" s="4" t="s">
        <v>125</v>
      </c>
      <c r="C31" s="4" t="s">
        <v>126</v>
      </c>
      <c r="D31" s="4" t="s">
        <v>127</v>
      </c>
      <c r="E31" s="4" t="s">
        <v>128</v>
      </c>
      <c r="F31" s="4" t="s">
        <v>129</v>
      </c>
      <c r="G31" s="4" t="s">
        <v>130</v>
      </c>
      <c r="H31" s="4" t="s">
        <v>75</v>
      </c>
      <c r="I31" s="4" t="s">
        <v>17</v>
      </c>
    </row>
    <row r="32" spans="1:9">
      <c r="A32" s="3">
        <v>30</v>
      </c>
      <c r="B32" s="4" t="s">
        <v>125</v>
      </c>
      <c r="C32" s="4" t="s">
        <v>131</v>
      </c>
      <c r="D32" s="4" t="s">
        <v>127</v>
      </c>
      <c r="E32" s="4" t="s">
        <v>128</v>
      </c>
      <c r="F32" s="4" t="s">
        <v>132</v>
      </c>
      <c r="G32" s="4" t="s">
        <v>133</v>
      </c>
      <c r="H32" s="4" t="s">
        <v>75</v>
      </c>
      <c r="I32" s="4" t="s">
        <v>17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Transformation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2026-06-17T10:23:39Z</dcterms:created>
  <dcterms:modified xsi:type="dcterms:W3CDTF">2026-06-17T10:23:39Z</dcterms:modified>
</cp:coreProperties>
</file>